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T6RX744\Downloads\"/>
    </mc:Choice>
  </mc:AlternateContent>
  <xr:revisionPtr revIDLastSave="0" documentId="13_ncr:1_{F22E8FB8-0879-411C-9200-8E609680CA71}" xr6:coauthVersionLast="46" xr6:coauthVersionMax="46" xr10:uidLastSave="{00000000-0000-0000-0000-000000000000}"/>
  <workbookProtection workbookPassword="F808" lockStructure="1"/>
  <bookViews>
    <workbookView xWindow="-110" yWindow="-110" windowWidth="19420" windowHeight="10420" tabRatio="854" xr2:uid="{00000000-000D-0000-FFFF-FFFF00000000}"/>
  </bookViews>
  <sheets>
    <sheet name="Time Sheet" sheetId="32" r:id="rId1"/>
  </sheets>
  <definedNames>
    <definedName name="_xlnm._FilterDatabase" localSheetId="0" hidden="1">'Time Sheet'!$A$10:$V$41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6" localSheetId="0">'Time Sheet'!#REF!</definedName>
    <definedName name="Excel_BuiltIn__FilterDatabase_6">#REF!</definedName>
    <definedName name="_xlnm.Print_Area" localSheetId="0">'Time Sheet'!$A$1:$I$41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2" l="1"/>
  <c r="H19" i="32"/>
  <c r="H18" i="32"/>
  <c r="H17" i="32"/>
  <c r="H16" i="32"/>
  <c r="H15" i="32"/>
  <c r="H14" i="32"/>
  <c r="H13" i="32"/>
  <c r="H12" i="32"/>
  <c r="H11" i="32"/>
  <c r="B5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2" i="32"/>
  <c r="O11" i="32"/>
  <c r="O13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B46" i="32"/>
  <c r="B45" i="32"/>
  <c r="B43" i="32"/>
  <c r="J8" i="32"/>
  <c r="A12" i="32" s="1"/>
  <c r="A11" i="32"/>
  <c r="B11" i="32" s="1"/>
  <c r="B44" i="32"/>
  <c r="B12" i="32" l="1"/>
  <c r="A13" i="32"/>
  <c r="B50" i="32"/>
  <c r="B49" i="32"/>
  <c r="B47" i="32"/>
  <c r="B48" i="32" s="1"/>
  <c r="B13" i="32" l="1"/>
  <c r="A14" i="32"/>
  <c r="B14" i="32" l="1"/>
  <c r="A15" i="32"/>
  <c r="B15" i="32" l="1"/>
  <c r="A16" i="32"/>
  <c r="B16" i="32" l="1"/>
  <c r="A17" i="32"/>
  <c r="B17" i="32" l="1"/>
  <c r="A18" i="32"/>
  <c r="A19" i="32" l="1"/>
  <c r="B18" i="32"/>
  <c r="B19" i="32" l="1"/>
  <c r="A20" i="32"/>
  <c r="B20" i="32" l="1"/>
  <c r="A21" i="32"/>
  <c r="B21" i="32" l="1"/>
  <c r="A22" i="32"/>
  <c r="B22" i="32" l="1"/>
  <c r="A23" i="32"/>
  <c r="A24" i="32" l="1"/>
  <c r="B23" i="32"/>
  <c r="B24" i="32" l="1"/>
  <c r="A25" i="32"/>
  <c r="A26" i="32" l="1"/>
  <c r="B25" i="32"/>
  <c r="A27" i="32" l="1"/>
  <c r="B26" i="32"/>
  <c r="A28" i="32" l="1"/>
  <c r="B27" i="32"/>
  <c r="B28" i="32" l="1"/>
  <c r="A29" i="32"/>
  <c r="A30" i="32" l="1"/>
  <c r="B29" i="32"/>
  <c r="B30" i="32" l="1"/>
  <c r="A31" i="32"/>
  <c r="B31" i="32" l="1"/>
  <c r="A32" i="32"/>
  <c r="A33" i="32" l="1"/>
  <c r="B32" i="32"/>
  <c r="A34" i="32" l="1"/>
  <c r="B33" i="32"/>
  <c r="B34" i="32" l="1"/>
  <c r="A35" i="32"/>
  <c r="A36" i="32" l="1"/>
  <c r="B35" i="32"/>
  <c r="A37" i="32" l="1"/>
  <c r="B36" i="32"/>
  <c r="B37" i="32" l="1"/>
  <c r="A38" i="32"/>
  <c r="A39" i="32" l="1"/>
  <c r="B38" i="32"/>
  <c r="A40" i="32" l="1"/>
  <c r="B39" i="32"/>
  <c r="A41" i="32" l="1"/>
  <c r="B41" i="32" s="1"/>
  <c r="B40" i="32"/>
</calcChain>
</file>

<file path=xl/sharedStrings.xml><?xml version="1.0" encoding="utf-8"?>
<sst xmlns="http://schemas.openxmlformats.org/spreadsheetml/2006/main" count="138" uniqueCount="71">
  <si>
    <t>Time Sheet</t>
  </si>
  <si>
    <t>Employee Details</t>
  </si>
  <si>
    <t>Name</t>
  </si>
  <si>
    <t>Project Joining Date</t>
  </si>
  <si>
    <t>Client</t>
  </si>
  <si>
    <t>Location</t>
  </si>
  <si>
    <t>Project Manager</t>
  </si>
  <si>
    <t>Day</t>
  </si>
  <si>
    <t>Comp Off</t>
  </si>
  <si>
    <t>Project Name</t>
  </si>
  <si>
    <t>Shift Type</t>
  </si>
  <si>
    <t>Work Location</t>
  </si>
  <si>
    <t>On Call Allowance (In Hours)</t>
  </si>
  <si>
    <t>IBM Emp ID</t>
  </si>
  <si>
    <t>Vendor Emp ID</t>
  </si>
  <si>
    <t>P</t>
  </si>
  <si>
    <t>A</t>
  </si>
  <si>
    <t>B</t>
  </si>
  <si>
    <t>C</t>
  </si>
  <si>
    <t>General</t>
  </si>
  <si>
    <t>Designated Holiday</t>
  </si>
  <si>
    <t>Account Holiday</t>
  </si>
  <si>
    <t>8AM to 11AM</t>
  </si>
  <si>
    <t>6AM to 8AM</t>
  </si>
  <si>
    <t>11AM to 4PM</t>
  </si>
  <si>
    <t>4PM to 6AM</t>
  </si>
  <si>
    <t>Week Off</t>
  </si>
  <si>
    <t>Leave</t>
  </si>
  <si>
    <t>Total Days in Month</t>
  </si>
  <si>
    <t>Working Days</t>
  </si>
  <si>
    <t>No. of days on Leave</t>
  </si>
  <si>
    <t>No. of billable days</t>
  </si>
  <si>
    <t>Billable FTE</t>
  </si>
  <si>
    <t>Total Shift Amount</t>
  </si>
  <si>
    <t>Month</t>
  </si>
  <si>
    <t>On Call Allowances</t>
  </si>
  <si>
    <t>Mobile/Internet Allowances</t>
  </si>
  <si>
    <t>NA</t>
  </si>
  <si>
    <t>SHIFT STARTING TIME (Log-in) Indian Standard Time</t>
  </si>
  <si>
    <t>Shift Allowance (INR)</t>
  </si>
  <si>
    <t>Shift A</t>
  </si>
  <si>
    <t>Shift B</t>
  </si>
  <si>
    <t>Shift C</t>
  </si>
  <si>
    <t>08:01 Hrs to 11:00 Hrs</t>
  </si>
  <si>
    <t>06:01 Hrs to 08:00 Hrs</t>
  </si>
  <si>
    <t>50 per Shift</t>
  </si>
  <si>
    <t>11:01 Hrs to 16:00 Hrs</t>
  </si>
  <si>
    <t>125 per Shift</t>
  </si>
  <si>
    <t>16:01 Hrs to 06:00 Hrs</t>
  </si>
  <si>
    <t>300 per Shift</t>
  </si>
  <si>
    <t>Standby Allowance (INR)</t>
  </si>
  <si>
    <t>Week Day per 8 hours coverage</t>
  </si>
  <si>
    <t>Weekly off / Public Holiday per 16 hours coverage</t>
  </si>
  <si>
    <t>No. of Holidays(Week Off/ Acc/ Designated Hldy/ Comp Off)</t>
  </si>
  <si>
    <t xml:space="preserve">Number of Working Hours </t>
  </si>
  <si>
    <t>Start Time</t>
  </si>
  <si>
    <t>End Time</t>
  </si>
  <si>
    <t>Shift Type (Login Hours)</t>
  </si>
  <si>
    <t>Start / End Time Format</t>
  </si>
  <si>
    <t>HH:MM AM/PM</t>
  </si>
  <si>
    <t>No. Working Hours</t>
  </si>
  <si>
    <t>Internet Allowance</t>
  </si>
  <si>
    <t>Mobile Allowance</t>
  </si>
  <si>
    <t>Manyata Tech Park G1 Block (Present Working from home)</t>
  </si>
  <si>
    <t>10th May 2021</t>
  </si>
  <si>
    <t>AVT6RX744</t>
  </si>
  <si>
    <t>TD Bank</t>
  </si>
  <si>
    <t>Canada</t>
  </si>
  <si>
    <t>6.00 AM (Next Day)</t>
  </si>
  <si>
    <t>Prashanth Seetharam</t>
  </si>
  <si>
    <t>On Call Allowance (24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</si>
</sst>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mmm/yyyy"/>
  </numFmts>
  <fonts count="7" x14ac:knownFonts="1">
    <font>
      <sz val="10"/>
      <name val="Arial"/>
      <family val="2"/>
    </font>
    <font>
      <sz val="8"/>
      <name val="Arial"/>
      <family val="2"/>
    </font>
    <font>
      <b/>
      <sz val="10"/>
      <name val="IBM Plex Sans"/>
      <family val="2"/>
    </font>
    <font>
      <sz val="10"/>
      <name val="IBM Plex Sans"/>
      <family val="2"/>
    </font>
    <font>
      <b/>
      <sz val="14"/>
      <name val="IBM Plex Sans"/>
      <family val="2"/>
    </font>
    <font>
      <b/>
      <sz val="12"/>
      <name val="IBM Plex Sans"/>
      <family val="2"/>
    </font>
    <font>
      <u/>
      <sz val="10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31"/>
      </patternFill>
    </fill>
    <fill>
      <patternFill patternType="solid">
        <fgColor theme="3" tint="0.59999389629810485"/>
        <bgColor indexed="4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3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40"/>
      </patternFill>
    </fill>
    <fill>
      <patternFill patternType="solid">
        <fgColor theme="3" tint="0.59999389629810485"/>
        <bgColor indexed="33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Protection="1">
      <protection hidden="1"/>
    </xf>
    <xf numFmtId="0" fontId="2" fillId="0" borderId="1" xfId="0" applyFont="1" applyBorder="1" applyProtection="1">
      <protection locked="0"/>
    </xf>
    <xf numFmtId="15" fontId="3" fillId="0" borderId="0" xfId="0" applyNumberFormat="1" applyFont="1" applyProtection="1">
      <protection hidden="1"/>
    </xf>
    <xf numFmtId="0" fontId="6" fillId="0" borderId="0" xfId="1" applyAlignment="1">
      <alignment vertical="center"/>
    </xf>
    <xf numFmtId="0" fontId="3" fillId="0" borderId="2" xfId="0" applyFont="1" applyBorder="1" applyAlignment="1" applyProtection="1">
      <alignment horizontal="center" vertical="center"/>
      <protection hidden="1"/>
    </xf>
    <xf numFmtId="2" fontId="2" fillId="4" borderId="2" xfId="0" applyNumberFormat="1" applyFont="1" applyFill="1" applyBorder="1" applyAlignment="1" applyProtection="1">
      <alignment horizontal="center" vertical="center"/>
      <protection hidden="1"/>
    </xf>
    <xf numFmtId="0" fontId="2" fillId="5" borderId="2" xfId="0" applyFont="1" applyFill="1" applyBorder="1" applyAlignment="1" applyProtection="1">
      <alignment horizontal="left" vertical="center"/>
      <protection hidden="1"/>
    </xf>
    <xf numFmtId="0" fontId="2" fillId="5" borderId="2" xfId="0" applyFont="1" applyFill="1" applyBorder="1" applyAlignment="1" applyProtection="1">
      <alignment horizontal="left" vertical="center" wrapText="1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locked="0" hidden="1"/>
    </xf>
    <xf numFmtId="15" fontId="3" fillId="2" borderId="2" xfId="0" applyNumberFormat="1" applyFont="1" applyFill="1" applyBorder="1" applyAlignment="1" applyProtection="1">
      <alignment horizontal="left"/>
      <protection locked="0" hidden="1"/>
    </xf>
    <xf numFmtId="0" fontId="3" fillId="2" borderId="2" xfId="0" applyFont="1" applyFill="1" applyBorder="1" applyAlignment="1" applyProtection="1">
      <alignment horizontal="left"/>
      <protection locked="0" hidden="1"/>
    </xf>
    <xf numFmtId="0" fontId="3" fillId="0" borderId="2" xfId="0" applyFont="1" applyBorder="1" applyAlignment="1" applyProtection="1">
      <alignment horizontal="center" vertical="center"/>
      <protection locked="0" hidden="1"/>
    </xf>
    <xf numFmtId="0" fontId="3" fillId="0" borderId="2" xfId="0" applyFont="1" applyBorder="1" applyAlignment="1" applyProtection="1">
      <alignment vertical="center"/>
      <protection locked="0" hidden="1"/>
    </xf>
    <xf numFmtId="165" fontId="2" fillId="7" borderId="4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5" xfId="0" applyNumberFormat="1" applyFont="1" applyFill="1" applyBorder="1" applyAlignment="1" applyProtection="1">
      <alignment horizontal="center" vertical="center"/>
      <protection locked="0" hidden="1"/>
    </xf>
    <xf numFmtId="0" fontId="2" fillId="3" borderId="6" xfId="0" applyFont="1" applyFill="1" applyBorder="1" applyAlignment="1" applyProtection="1">
      <alignment horizontal="center" vertical="center" wrapText="1"/>
      <protection locked="0" hidden="1"/>
    </xf>
    <xf numFmtId="0" fontId="2" fillId="3" borderId="6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wrapText="1"/>
      <protection hidden="1"/>
    </xf>
    <xf numFmtId="0" fontId="3" fillId="8" borderId="2" xfId="0" applyFont="1" applyFill="1" applyBorder="1" applyAlignment="1" applyProtection="1">
      <alignment horizontal="center" vertical="center"/>
      <protection hidden="1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center"/>
      <protection hidden="1"/>
    </xf>
    <xf numFmtId="0" fontId="2" fillId="3" borderId="7" xfId="0" applyFont="1" applyFill="1" applyBorder="1" applyAlignment="1" applyProtection="1">
      <alignment horizontal="center"/>
      <protection locked="0" hidden="1"/>
    </xf>
    <xf numFmtId="0" fontId="2" fillId="3" borderId="7" xfId="0" applyFont="1" applyFill="1" applyBorder="1" applyAlignment="1" applyProtection="1">
      <alignment horizontal="center" vertical="center"/>
      <protection locked="0" hidden="1"/>
    </xf>
    <xf numFmtId="165" fontId="2" fillId="7" borderId="0" xfId="0" applyNumberFormat="1" applyFont="1" applyFill="1" applyBorder="1" applyAlignment="1" applyProtection="1">
      <alignment horizontal="center" vertical="center"/>
      <protection locked="0" hidden="1"/>
    </xf>
    <xf numFmtId="18" fontId="3" fillId="0" borderId="2" xfId="0" applyNumberFormat="1" applyFont="1" applyBorder="1" applyAlignment="1" applyProtection="1">
      <alignment vertical="center"/>
      <protection locked="0" hidden="1"/>
    </xf>
    <xf numFmtId="0" fontId="3" fillId="9" borderId="2" xfId="0" applyFont="1" applyFill="1" applyBorder="1" applyAlignment="1" applyProtection="1">
      <alignment horizontal="center" vertical="center" wrapText="1"/>
      <protection hidden="1"/>
    </xf>
    <xf numFmtId="18" fontId="3" fillId="0" borderId="2" xfId="0" applyNumberFormat="1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 hidden="1"/>
    </xf>
    <xf numFmtId="2" fontId="3" fillId="0" borderId="2" xfId="0" applyNumberFormat="1" applyFont="1" applyBorder="1" applyAlignment="1" applyProtection="1">
      <alignment horizontal="center" vertical="center"/>
      <protection hidden="1"/>
    </xf>
    <xf numFmtId="165" fontId="2" fillId="6" borderId="8" xfId="0" applyNumberFormat="1" applyFont="1" applyFill="1" applyBorder="1" applyAlignment="1" applyProtection="1">
      <alignment horizontal="center" vertical="center" wrapText="1"/>
      <protection locked="0" hidden="1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Protection="1">
      <protection locked="0"/>
    </xf>
    <xf numFmtId="0" fontId="3" fillId="0" borderId="0" xfId="0" applyFont="1" applyProtection="1">
      <protection locked="0" hidden="1"/>
    </xf>
    <xf numFmtId="0" fontId="2" fillId="0" borderId="15" xfId="0" applyFont="1" applyBorder="1" applyAlignment="1" applyProtection="1">
      <alignment horizontal="left"/>
      <protection locked="0"/>
    </xf>
    <xf numFmtId="0" fontId="2" fillId="12" borderId="17" xfId="0" applyFont="1" applyFill="1" applyBorder="1" applyAlignment="1" applyProtection="1">
      <alignment horizontal="center" vertical="center"/>
      <protection locked="0" hidden="1"/>
    </xf>
    <xf numFmtId="0" fontId="2" fillId="12" borderId="18" xfId="0" applyFont="1" applyFill="1" applyBorder="1" applyAlignment="1" applyProtection="1">
      <alignment horizontal="center" vertical="center"/>
      <protection locked="0" hidden="1"/>
    </xf>
    <xf numFmtId="0" fontId="2" fillId="3" borderId="9" xfId="0" applyFont="1" applyFill="1" applyBorder="1" applyAlignment="1" applyProtection="1">
      <alignment horizontal="center"/>
      <protection locked="0" hidden="1"/>
    </xf>
    <xf numFmtId="0" fontId="2" fillId="3" borderId="19" xfId="0" applyFont="1" applyFill="1" applyBorder="1" applyAlignment="1" applyProtection="1">
      <alignment horizontal="center"/>
      <protection locked="0" hidden="1"/>
    </xf>
    <xf numFmtId="0" fontId="2" fillId="3" borderId="9" xfId="0" applyFont="1" applyFill="1" applyBorder="1" applyAlignment="1" applyProtection="1">
      <alignment horizontal="center" vertical="center"/>
      <protection locked="0" hidden="1"/>
    </xf>
    <xf numFmtId="0" fontId="2" fillId="3" borderId="19" xfId="0" applyFont="1" applyFill="1" applyBorder="1" applyAlignment="1" applyProtection="1">
      <alignment horizontal="center" vertical="center"/>
      <protection locked="0" hidden="1"/>
    </xf>
    <xf numFmtId="0" fontId="4" fillId="13" borderId="20" xfId="0" applyFont="1" applyFill="1" applyBorder="1" applyAlignment="1" applyProtection="1">
      <alignment horizontal="center" vertical="center" wrapText="1"/>
      <protection locked="0" hidden="1"/>
    </xf>
    <xf numFmtId="0" fontId="5" fillId="13" borderId="20" xfId="0" applyFont="1" applyFill="1" applyBorder="1" applyAlignment="1" applyProtection="1">
      <alignment horizontal="center" vertical="center" wrapText="1"/>
      <protection locked="0" hidden="1"/>
    </xf>
    <xf numFmtId="0" fontId="2" fillId="0" borderId="9" xfId="0" applyFont="1" applyFill="1" applyBorder="1" applyAlignment="1" applyProtection="1">
      <alignment horizontal="center"/>
      <protection locked="0" hidden="1"/>
    </xf>
    <xf numFmtId="0" fontId="2" fillId="0" borderId="7" xfId="0" applyFont="1" applyFill="1" applyBorder="1" applyAlignment="1" applyProtection="1">
      <alignment horizontal="center"/>
      <protection locked="0" hidden="1"/>
    </xf>
    <xf numFmtId="0" fontId="2" fillId="0" borderId="9" xfId="0" applyFont="1" applyBorder="1" applyAlignment="1" applyProtection="1">
      <alignment horizontal="left"/>
      <protection locked="0" hidden="1"/>
    </xf>
    <xf numFmtId="0" fontId="3" fillId="11" borderId="16" xfId="0" applyFont="1" applyFill="1" applyBorder="1" applyAlignment="1" applyProtection="1">
      <alignment horizontal="center" wrapText="1"/>
      <protection hidden="1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2" fillId="10" borderId="2" xfId="0" applyFont="1" applyFill="1" applyBorder="1" applyAlignment="1" applyProtection="1">
      <alignment horizontal="center" vertical="center"/>
      <protection locked="0" hidden="1"/>
    </xf>
    <xf numFmtId="0" fontId="2" fillId="10" borderId="10" xfId="0" applyFont="1" applyFill="1" applyBorder="1" applyAlignment="1" applyProtection="1">
      <alignment horizontal="center" vertical="center"/>
      <protection locked="0" hidden="1"/>
    </xf>
    <xf numFmtId="165" fontId="2" fillId="7" borderId="11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2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3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14" xfId="0" applyNumberFormat="1" applyFont="1" applyFill="1" applyBorder="1" applyAlignment="1" applyProtection="1">
      <alignment horizontal="center" vertical="center"/>
      <protection locked="0" hidden="1"/>
    </xf>
  </cellXfs>
  <cellStyles count="2">
    <cellStyle name="Hyperlink" xfId="1" builtinId="8"/>
    <cellStyle name="Normal" xfId="0" builtinId="0"/>
  </cellStyles>
  <dxfs count="2">
    <dxf>
      <font>
        <b/>
        <i val="0"/>
        <condense val="0"/>
        <extend val="0"/>
      </font>
      <fill>
        <patternFill patternType="solid">
          <fgColor indexed="26"/>
          <bgColor indexed="43"/>
        </patternFill>
      </fill>
    </dxf>
    <dxf>
      <font>
        <b/>
        <i val="0"/>
        <condense val="0"/>
        <extend val="0"/>
      </font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5000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52"/>
  <sheetViews>
    <sheetView showGridLines="0" tabSelected="1" topLeftCell="A32" workbookViewId="0">
      <selection activeCell="C40" sqref="C40:G41"/>
    </sheetView>
  </sheetViews>
  <sheetFormatPr defaultColWidth="9.1796875" defaultRowHeight="14.5" x14ac:dyDescent="0.4"/>
  <cols>
    <col min="1" max="1" width="31.1796875" style="1" customWidth="1"/>
    <col min="2" max="2" width="19.81640625" style="1" customWidth="1"/>
    <col min="3" max="3" width="21.26953125" style="1" customWidth="1"/>
    <col min="4" max="4" width="12.81640625" style="1" bestFit="1" customWidth="1"/>
    <col min="5" max="5" width="10.54296875" style="1" bestFit="1" customWidth="1"/>
    <col min="6" max="6" width="9.26953125" style="1" bestFit="1" customWidth="1"/>
    <col min="7" max="7" width="14.453125" style="1" bestFit="1" customWidth="1"/>
    <col min="8" max="8" width="14.54296875" style="1" customWidth="1"/>
    <col min="9" max="9" width="12.453125" style="1" customWidth="1"/>
    <col min="10" max="15" width="10.7265625" style="1" hidden="1" customWidth="1"/>
    <col min="16" max="16" width="2.26953125" style="1" customWidth="1"/>
    <col min="17" max="17" width="25.26953125" style="1" customWidth="1"/>
    <col min="18" max="18" width="20.54296875" style="1" bestFit="1" customWidth="1"/>
    <col min="19" max="19" width="14.54296875" style="1" bestFit="1" customWidth="1"/>
    <col min="20" max="20" width="1.1796875" style="1" customWidth="1"/>
    <col min="21" max="21" width="44.1796875" style="1" bestFit="1" customWidth="1"/>
    <col min="22" max="16384" width="9.1796875" style="1"/>
  </cols>
  <sheetData>
    <row r="1" spans="1:22" ht="15.75" customHeight="1" x14ac:dyDescent="0.4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22" ht="12.75" customHeight="1" x14ac:dyDescent="0.4">
      <c r="A2" s="45" t="s">
        <v>1</v>
      </c>
      <c r="B2" s="45"/>
      <c r="C2" s="45"/>
      <c r="D2" s="45"/>
      <c r="E2" s="45"/>
      <c r="F2" s="45"/>
      <c r="G2" s="45"/>
      <c r="H2" s="45"/>
      <c r="I2" s="45"/>
    </row>
    <row r="3" spans="1:22" x14ac:dyDescent="0.4">
      <c r="A3" s="17" t="s">
        <v>14</v>
      </c>
      <c r="B3" s="2"/>
      <c r="C3" s="40" t="s">
        <v>2</v>
      </c>
      <c r="D3" s="41"/>
      <c r="E3" s="37"/>
      <c r="F3" s="37"/>
      <c r="G3" s="24"/>
      <c r="H3" s="37"/>
      <c r="I3" s="37"/>
    </row>
    <row r="4" spans="1:22" x14ac:dyDescent="0.4">
      <c r="A4" s="16" t="s">
        <v>3</v>
      </c>
      <c r="B4" s="34" t="s">
        <v>64</v>
      </c>
      <c r="C4" s="42" t="s">
        <v>4</v>
      </c>
      <c r="D4" s="43"/>
      <c r="E4" s="37"/>
      <c r="F4" s="37"/>
      <c r="G4" s="25"/>
      <c r="H4" s="37"/>
      <c r="I4" s="37"/>
    </row>
    <row r="5" spans="1:22" x14ac:dyDescent="0.4">
      <c r="A5" s="17" t="s">
        <v>13</v>
      </c>
      <c r="B5" s="35" t="s">
        <v>65</v>
      </c>
      <c r="C5" s="40" t="s">
        <v>5</v>
      </c>
      <c r="D5" s="41"/>
      <c r="E5" s="37" t="s">
        <v>67</v>
      </c>
      <c r="F5" s="37"/>
      <c r="G5" s="24"/>
      <c r="H5" s="37"/>
      <c r="I5" s="37"/>
    </row>
    <row r="6" spans="1:22" x14ac:dyDescent="0.4">
      <c r="A6" s="17" t="s">
        <v>6</v>
      </c>
      <c r="B6" s="36" t="s">
        <v>69</v>
      </c>
      <c r="C6" s="40" t="s">
        <v>9</v>
      </c>
      <c r="D6" s="41"/>
      <c r="E6" s="48" t="s">
        <v>66</v>
      </c>
      <c r="F6" s="48"/>
      <c r="G6" s="24"/>
      <c r="H6" s="46"/>
      <c r="I6" s="47"/>
    </row>
    <row r="7" spans="1:22" ht="6" customHeight="1" thickBot="1" x14ac:dyDescent="0.45">
      <c r="A7" s="38"/>
      <c r="B7" s="39"/>
      <c r="C7" s="39"/>
      <c r="D7" s="39"/>
      <c r="E7" s="39"/>
      <c r="F7" s="39"/>
      <c r="G7" s="39"/>
      <c r="H7" s="39"/>
      <c r="I7" s="39"/>
    </row>
    <row r="8" spans="1:22" ht="15" thickBot="1" x14ac:dyDescent="0.45">
      <c r="A8" s="55"/>
      <c r="B8" s="56"/>
      <c r="C8" s="14" t="s">
        <v>34</v>
      </c>
      <c r="D8" s="15">
        <v>44409</v>
      </c>
      <c r="E8" s="26"/>
      <c r="F8" s="26"/>
      <c r="G8" s="26"/>
      <c r="H8" s="53"/>
      <c r="I8" s="54"/>
      <c r="J8" s="3">
        <f>EOMONTH(D8,0)</f>
        <v>44439</v>
      </c>
    </row>
    <row r="9" spans="1:22" ht="28.5" customHeight="1" x14ac:dyDescent="0.4">
      <c r="A9" s="51" t="s">
        <v>11</v>
      </c>
      <c r="B9" s="51"/>
      <c r="C9" s="52" t="s">
        <v>63</v>
      </c>
      <c r="D9" s="52"/>
      <c r="E9" s="52"/>
      <c r="F9" s="52"/>
      <c r="G9" s="52"/>
      <c r="H9" s="51"/>
      <c r="I9" s="51"/>
    </row>
    <row r="10" spans="1:22" ht="43.5" x14ac:dyDescent="0.4">
      <c r="A10" s="33">
        <f>D8</f>
        <v>44409</v>
      </c>
      <c r="B10" s="9" t="s">
        <v>7</v>
      </c>
      <c r="C10" s="9" t="s">
        <v>0</v>
      </c>
      <c r="D10" s="9" t="s">
        <v>57</v>
      </c>
      <c r="E10" s="9" t="s">
        <v>55</v>
      </c>
      <c r="F10" s="9" t="s">
        <v>56</v>
      </c>
      <c r="G10" s="9" t="s">
        <v>54</v>
      </c>
      <c r="H10" s="22" t="s">
        <v>10</v>
      </c>
      <c r="I10" s="9" t="s">
        <v>12</v>
      </c>
      <c r="Q10" s="19" t="s">
        <v>10</v>
      </c>
      <c r="R10" s="20" t="s">
        <v>38</v>
      </c>
      <c r="S10" s="20" t="s">
        <v>39</v>
      </c>
      <c r="U10" s="50" t="s">
        <v>50</v>
      </c>
      <c r="V10" s="50"/>
    </row>
    <row r="11" spans="1:22" x14ac:dyDescent="0.4">
      <c r="A11" s="10">
        <f>D8</f>
        <v>44409</v>
      </c>
      <c r="B11" s="11" t="str">
        <f>TEXT(A11,"ddddd")</f>
        <v>Sunday</v>
      </c>
      <c r="C11" s="12" t="s">
        <v>26</v>
      </c>
      <c r="D11" s="13" t="s">
        <v>22</v>
      </c>
      <c r="E11" s="27">
        <v>0.22916666666666666</v>
      </c>
      <c r="F11" s="27">
        <v>0.27083333333333331</v>
      </c>
      <c r="G11" s="31">
        <v>8.6</v>
      </c>
      <c r="H11" s="23" t="str">
        <f t="shared" ref="H11:H19" si="0">IF(D11="8AM to 11AM","General",IF(D11="6AM to 8AM","Shift A",IF(D11="11AM to 4PM","Shift B",IF(D11="4PM to 6AM","Shift C",""))))</f>
        <v>General</v>
      </c>
      <c r="I11" s="30"/>
      <c r="J11" s="1">
        <f t="shared" ref="J11:J41" si="1">IF(C11="P",IF(D11="6AM to 8AM",50,IF(D11="11AM to 4PM",125,IF(D11="4PM to 6AM",300,0))),0)</f>
        <v>0</v>
      </c>
      <c r="O11" s="1">
        <f>IF(ISNUMBER(I11),IF(OR(C11="Sick Leave",C11="Not Applicable",C11=""),0,IF(AND(OR(C11="Leave",C11="week off",C11="Designated Holiday",C11="Account Holiday",C11="Comp Off"),I11&gt;16),16,IF(AND(C11="p",I11&gt;8),8,I11))),0)</f>
        <v>0</v>
      </c>
      <c r="Q11" s="5" t="s">
        <v>19</v>
      </c>
      <c r="R11" s="5" t="s">
        <v>43</v>
      </c>
      <c r="S11" s="5" t="s">
        <v>37</v>
      </c>
      <c r="U11" s="21" t="s">
        <v>51</v>
      </c>
      <c r="V11" s="5">
        <v>200</v>
      </c>
    </row>
    <row r="12" spans="1:22" x14ac:dyDescent="0.4">
      <c r="A12" s="10">
        <f t="shared" ref="A12:A41" si="2">IF(A11="","",IF(A11+1&gt;$J$8,"",A11+1))</f>
        <v>44410</v>
      </c>
      <c r="B12" s="11" t="str">
        <f t="shared" ref="B12:B41" si="3">TEXT(A12,"ddddd")</f>
        <v>Monday</v>
      </c>
      <c r="C12" s="12" t="s">
        <v>15</v>
      </c>
      <c r="D12" s="13" t="s">
        <v>22</v>
      </c>
      <c r="E12" s="27">
        <v>0.22916666666666666</v>
      </c>
      <c r="F12" s="27">
        <v>0.27083333333333331</v>
      </c>
      <c r="G12" s="31">
        <v>8.6</v>
      </c>
      <c r="H12" s="23" t="str">
        <f t="shared" si="0"/>
        <v>General</v>
      </c>
      <c r="I12" s="30"/>
      <c r="J12" s="1">
        <f t="shared" si="1"/>
        <v>0</v>
      </c>
      <c r="O12" s="1">
        <f>IF(ISNUMBER(I12),IF(OR(C12="Sick Leave",C12="Not Applicable",C12=""),0,IF(AND(OR(C12="Leave",C12="week off",C12="Designated Holiday",C12="Account Holiday",C12="Comp Off"),I12&gt;16),16,IF(AND(C12="p",I12&gt;8),8,I12))),0)</f>
        <v>0</v>
      </c>
      <c r="Q12" s="5" t="s">
        <v>40</v>
      </c>
      <c r="R12" s="5" t="s">
        <v>44</v>
      </c>
      <c r="S12" s="5" t="s">
        <v>45</v>
      </c>
      <c r="U12" s="21" t="s">
        <v>52</v>
      </c>
      <c r="V12" s="5">
        <v>400</v>
      </c>
    </row>
    <row r="13" spans="1:22" x14ac:dyDescent="0.4">
      <c r="A13" s="10">
        <f t="shared" si="2"/>
        <v>44411</v>
      </c>
      <c r="B13" s="11" t="str">
        <f t="shared" si="3"/>
        <v>Tuesday</v>
      </c>
      <c r="C13" s="12" t="s">
        <v>15</v>
      </c>
      <c r="D13" s="13" t="s">
        <v>22</v>
      </c>
      <c r="E13" s="27">
        <v>0.22916666666666666</v>
      </c>
      <c r="F13" s="27">
        <v>0.27083333333333331</v>
      </c>
      <c r="G13" s="31">
        <v>8.6</v>
      </c>
      <c r="H13" s="23" t="str">
        <f t="shared" si="0"/>
        <v>General</v>
      </c>
      <c r="I13" s="30"/>
      <c r="J13" s="1">
        <f t="shared" si="1"/>
        <v>0</v>
      </c>
      <c r="O13" s="1">
        <f>IF(ISNUMBER(I13),IF(OR(C13="Sick Leave",C13="Not Applicable",C13=""),0,IF(AND(OR(C13="Leave",C13="week off",C13="Designated Holiday",C13="Account Holiday",C13="Comp Off"),I13&gt;16),16,IF(AND(C13="p",I13&gt;8),8,I13))),0)</f>
        <v>0</v>
      </c>
      <c r="Q13" s="5" t="s">
        <v>41</v>
      </c>
      <c r="R13" s="5" t="s">
        <v>46</v>
      </c>
      <c r="S13" s="5" t="s">
        <v>47</v>
      </c>
      <c r="U13" s="21" t="s">
        <v>61</v>
      </c>
      <c r="V13" s="5">
        <v>550</v>
      </c>
    </row>
    <row r="14" spans="1:22" x14ac:dyDescent="0.4">
      <c r="A14" s="10">
        <f t="shared" si="2"/>
        <v>44412</v>
      </c>
      <c r="B14" s="11" t="str">
        <f t="shared" si="3"/>
        <v>Wednesday</v>
      </c>
      <c r="C14" s="12" t="s">
        <v>15</v>
      </c>
      <c r="D14" s="13" t="s">
        <v>22</v>
      </c>
      <c r="E14" s="27">
        <v>0.22916666666666666</v>
      </c>
      <c r="F14" s="27">
        <v>0.27083333333333331</v>
      </c>
      <c r="G14" s="31">
        <v>8.6</v>
      </c>
      <c r="H14" s="23" t="str">
        <f t="shared" si="0"/>
        <v>General</v>
      </c>
      <c r="I14" s="30"/>
      <c r="J14" s="1">
        <f t="shared" si="1"/>
        <v>0</v>
      </c>
      <c r="K14" s="1" t="s">
        <v>15</v>
      </c>
      <c r="O14" s="1">
        <f t="shared" ref="O14:O41" si="4">IF(ISNUMBER(I14),IF(OR(C14="Sick Leave",C14="Not Applicable",C14=""),0,IF(AND(OR(C14="Leave",C14="week off",C14="Designated Holiday",C14="Account Holiday",C14="Comp Off"),I14&gt;16),16,IF(AND(C14="p",I14&gt;8),8,I14))),0)</f>
        <v>0</v>
      </c>
      <c r="Q14" s="5" t="s">
        <v>42</v>
      </c>
      <c r="R14" s="5" t="s">
        <v>48</v>
      </c>
      <c r="S14" s="5" t="s">
        <v>49</v>
      </c>
      <c r="U14" s="21" t="s">
        <v>62</v>
      </c>
      <c r="V14" s="5">
        <v>550</v>
      </c>
    </row>
    <row r="15" spans="1:22" x14ac:dyDescent="0.4">
      <c r="A15" s="10">
        <f t="shared" si="2"/>
        <v>44413</v>
      </c>
      <c r="B15" s="11" t="str">
        <f t="shared" si="3"/>
        <v>Thursday</v>
      </c>
      <c r="C15" s="12" t="s">
        <v>15</v>
      </c>
      <c r="D15" s="13" t="s">
        <v>22</v>
      </c>
      <c r="E15" s="27">
        <v>0.22916666666666666</v>
      </c>
      <c r="F15" s="27">
        <v>0.27083333333333331</v>
      </c>
      <c r="G15" s="31">
        <v>8.6</v>
      </c>
      <c r="H15" s="23" t="str">
        <f t="shared" si="0"/>
        <v>General</v>
      </c>
      <c r="I15" s="30"/>
      <c r="J15" s="1">
        <f t="shared" si="1"/>
        <v>0</v>
      </c>
      <c r="K15" s="1" t="s">
        <v>27</v>
      </c>
      <c r="O15" s="1">
        <f t="shared" si="4"/>
        <v>0</v>
      </c>
    </row>
    <row r="16" spans="1:22" x14ac:dyDescent="0.4">
      <c r="A16" s="10">
        <f t="shared" si="2"/>
        <v>44414</v>
      </c>
      <c r="B16" s="11" t="str">
        <f t="shared" si="3"/>
        <v>Friday</v>
      </c>
      <c r="C16" s="12" t="s">
        <v>15</v>
      </c>
      <c r="D16" s="13" t="s">
        <v>22</v>
      </c>
      <c r="E16" s="27">
        <v>0.22916666666666666</v>
      </c>
      <c r="F16" s="27">
        <v>0.27083333333333331</v>
      </c>
      <c r="G16" s="31">
        <v>8.6</v>
      </c>
      <c r="H16" s="23" t="str">
        <f t="shared" si="0"/>
        <v>General</v>
      </c>
      <c r="I16" s="30"/>
      <c r="J16" s="1">
        <f t="shared" si="1"/>
        <v>0</v>
      </c>
      <c r="K16" s="1" t="s">
        <v>26</v>
      </c>
      <c r="O16" s="1">
        <f t="shared" si="4"/>
        <v>0</v>
      </c>
      <c r="Q16" s="28" t="s">
        <v>58</v>
      </c>
      <c r="R16" s="18"/>
      <c r="S16" s="18"/>
    </row>
    <row r="17" spans="1:17" x14ac:dyDescent="0.4">
      <c r="A17" s="10">
        <f t="shared" si="2"/>
        <v>44415</v>
      </c>
      <c r="B17" s="11" t="str">
        <f t="shared" si="3"/>
        <v>Saturday</v>
      </c>
      <c r="C17" s="12" t="s">
        <v>15</v>
      </c>
      <c r="D17" s="13" t="s">
        <v>25</v>
      </c>
      <c r="E17" s="27">
        <v>0.25</v>
      </c>
      <c r="F17" s="27" t="s">
        <v>68</v>
      </c>
      <c r="G17" s="31"/>
      <c r="H17" s="23" t="str">
        <f t="shared" si="0"/>
        <v>Shift C</v>
      </c>
      <c r="I17" s="30" t="s">
        <v>70</v>
      </c>
      <c r="J17" s="1">
        <f t="shared" si="1"/>
        <v>300</v>
      </c>
      <c r="K17" s="1" t="s">
        <v>20</v>
      </c>
      <c r="O17" s="1">
        <f t="shared" si="4"/>
        <v>0</v>
      </c>
      <c r="Q17" s="29" t="s">
        <v>59</v>
      </c>
    </row>
    <row r="18" spans="1:17" x14ac:dyDescent="0.4">
      <c r="A18" s="10">
        <f t="shared" si="2"/>
        <v>44416</v>
      </c>
      <c r="B18" s="11" t="str">
        <f t="shared" si="3"/>
        <v>Sunday</v>
      </c>
      <c r="C18" s="12" t="s">
        <v>26</v>
      </c>
      <c r="D18" s="13"/>
      <c r="E18" s="27"/>
      <c r="F18" s="27"/>
      <c r="G18" s="31"/>
      <c r="H18" s="23" t="str">
        <f t="shared" si="0"/>
        <v/>
      </c>
      <c r="I18" s="30"/>
      <c r="J18" s="1">
        <f t="shared" si="1"/>
        <v>0</v>
      </c>
      <c r="K18" s="1" t="s">
        <v>21</v>
      </c>
      <c r="O18" s="1">
        <f t="shared" si="4"/>
        <v>0</v>
      </c>
    </row>
    <row r="19" spans="1:17" x14ac:dyDescent="0.4">
      <c r="A19" s="10">
        <f t="shared" si="2"/>
        <v>44417</v>
      </c>
      <c r="B19" s="11" t="str">
        <f t="shared" si="3"/>
        <v>Monday</v>
      </c>
      <c r="C19" s="12" t="s">
        <v>15</v>
      </c>
      <c r="D19" s="13" t="s">
        <v>22</v>
      </c>
      <c r="E19" s="27">
        <v>0.22916666666666666</v>
      </c>
      <c r="F19" s="27">
        <v>0.27083333333333331</v>
      </c>
      <c r="G19" s="31">
        <v>8.6</v>
      </c>
      <c r="H19" s="23" t="str">
        <f t="shared" si="0"/>
        <v>General</v>
      </c>
      <c r="I19" s="30"/>
      <c r="J19" s="1">
        <f t="shared" si="1"/>
        <v>0</v>
      </c>
      <c r="K19" s="1" t="s">
        <v>8</v>
      </c>
      <c r="L19" s="1" t="s">
        <v>16</v>
      </c>
      <c r="M19" s="1" t="s">
        <v>22</v>
      </c>
      <c r="O19" s="1">
        <f t="shared" si="4"/>
        <v>0</v>
      </c>
    </row>
    <row r="20" spans="1:17" x14ac:dyDescent="0.4">
      <c r="A20" s="10">
        <f t="shared" si="2"/>
        <v>44418</v>
      </c>
      <c r="B20" s="11" t="str">
        <f t="shared" si="3"/>
        <v>Tuesday</v>
      </c>
      <c r="C20" s="12" t="s">
        <v>15</v>
      </c>
      <c r="D20" s="13" t="s">
        <v>22</v>
      </c>
      <c r="E20" s="27">
        <v>0.22916666666666666</v>
      </c>
      <c r="F20" s="27">
        <v>0.27083333333333331</v>
      </c>
      <c r="G20" s="31">
        <v>8.6</v>
      </c>
      <c r="H20" s="23" t="str">
        <f t="shared" ref="H20:H41" si="5">IF(D20="8AM to 11AM","General",IF(D20="6AM to 8AM","Shift A",IF(D20="11AM to 4PM","Shift B",IF(D20="4PM to 6AM","Shift C",""))))</f>
        <v>General</v>
      </c>
      <c r="I20" s="36"/>
      <c r="J20" s="1">
        <f t="shared" si="1"/>
        <v>0</v>
      </c>
      <c r="L20" s="1" t="s">
        <v>17</v>
      </c>
      <c r="M20" s="1" t="s">
        <v>23</v>
      </c>
      <c r="O20" s="1">
        <f>IF(ISNUMBER(I24),IF(OR(C20="Sick Leave",C20="Not Applicable",C20=""),0,IF(AND(OR(C20="Leave",C20="week off",C20="Designated Holiday",C20="Account Holiday",C20="Comp Off"),I24&gt;16),16,IF(AND(C20="p",I24&gt;8),8,I24))),0)</f>
        <v>0</v>
      </c>
    </row>
    <row r="21" spans="1:17" x14ac:dyDescent="0.4">
      <c r="A21" s="10">
        <f t="shared" si="2"/>
        <v>44419</v>
      </c>
      <c r="B21" s="11" t="str">
        <f t="shared" si="3"/>
        <v>Wednesday</v>
      </c>
      <c r="C21" s="12" t="s">
        <v>15</v>
      </c>
      <c r="D21" s="13" t="s">
        <v>22</v>
      </c>
      <c r="E21" s="27">
        <v>0.22916666666666666</v>
      </c>
      <c r="F21" s="27">
        <v>0.27083333333333331</v>
      </c>
      <c r="G21" s="31">
        <v>8.6</v>
      </c>
      <c r="H21" s="23" t="str">
        <f t="shared" si="5"/>
        <v>General</v>
      </c>
      <c r="I21" s="30"/>
      <c r="J21" s="1">
        <f t="shared" si="1"/>
        <v>0</v>
      </c>
      <c r="L21" s="1" t="s">
        <v>18</v>
      </c>
      <c r="M21" s="1" t="s">
        <v>24</v>
      </c>
      <c r="O21" s="1">
        <f t="shared" si="4"/>
        <v>0</v>
      </c>
    </row>
    <row r="22" spans="1:17" x14ac:dyDescent="0.4">
      <c r="A22" s="10">
        <f t="shared" si="2"/>
        <v>44420</v>
      </c>
      <c r="B22" s="11" t="str">
        <f t="shared" si="3"/>
        <v>Thursday</v>
      </c>
      <c r="C22" s="12" t="s">
        <v>15</v>
      </c>
      <c r="D22" s="13" t="s">
        <v>22</v>
      </c>
      <c r="E22" s="27">
        <v>0.22916666666666666</v>
      </c>
      <c r="F22" s="27">
        <v>0.27083333333333331</v>
      </c>
      <c r="G22" s="31">
        <v>8.6</v>
      </c>
      <c r="H22" s="23" t="str">
        <f t="shared" si="5"/>
        <v>General</v>
      </c>
      <c r="I22" s="30"/>
      <c r="J22" s="1">
        <f t="shared" si="1"/>
        <v>0</v>
      </c>
      <c r="L22" s="1" t="s">
        <v>19</v>
      </c>
      <c r="M22" s="1" t="s">
        <v>25</v>
      </c>
      <c r="O22" s="1">
        <f t="shared" si="4"/>
        <v>0</v>
      </c>
    </row>
    <row r="23" spans="1:17" x14ac:dyDescent="0.4">
      <c r="A23" s="10">
        <f t="shared" si="2"/>
        <v>44421</v>
      </c>
      <c r="B23" s="11" t="str">
        <f t="shared" si="3"/>
        <v>Friday</v>
      </c>
      <c r="C23" s="12" t="s">
        <v>15</v>
      </c>
      <c r="D23" s="13" t="s">
        <v>22</v>
      </c>
      <c r="E23" s="27">
        <v>0.22916666666666666</v>
      </c>
      <c r="F23" s="27">
        <v>0.27083333333333331</v>
      </c>
      <c r="G23" s="31">
        <v>8.6</v>
      </c>
      <c r="H23" s="23" t="str">
        <f t="shared" si="5"/>
        <v>General</v>
      </c>
      <c r="I23" s="30"/>
      <c r="J23" s="1">
        <f t="shared" si="1"/>
        <v>0</v>
      </c>
      <c r="O23" s="1">
        <f t="shared" si="4"/>
        <v>0</v>
      </c>
    </row>
    <row r="24" spans="1:17" x14ac:dyDescent="0.4">
      <c r="A24" s="10">
        <f t="shared" si="2"/>
        <v>44422</v>
      </c>
      <c r="B24" s="11" t="str">
        <f t="shared" si="3"/>
        <v>Saturday</v>
      </c>
      <c r="C24" s="12" t="s">
        <v>15</v>
      </c>
      <c r="D24" s="13" t="s">
        <v>25</v>
      </c>
      <c r="E24" s="27">
        <v>0.25</v>
      </c>
      <c r="F24" s="27" t="s">
        <v>68</v>
      </c>
      <c r="G24" s="31"/>
      <c r="H24" s="23" t="str">
        <f t="shared" si="5"/>
        <v>Shift C</v>
      </c>
      <c r="I24" s="30" t="s">
        <v>70</v>
      </c>
      <c r="J24" s="1">
        <f t="shared" si="1"/>
        <v>300</v>
      </c>
      <c r="O24" s="1">
        <f>IF(ISNUMBER(#REF!),IF(OR(C24="Sick Leave",C24="Not Applicable",C24=""),0,IF(AND(OR(C24="Leave",C24="week off",C24="Designated Holiday",C24="Account Holiday",C24="Comp Off"),#REF!&gt;16),16,IF(AND(C24="p",#REF!&gt;8),8,#REF!))),0)</f>
        <v>0</v>
      </c>
    </row>
    <row r="25" spans="1:17" x14ac:dyDescent="0.4">
      <c r="A25" s="10">
        <f t="shared" si="2"/>
        <v>44423</v>
      </c>
      <c r="B25" s="11" t="str">
        <f t="shared" si="3"/>
        <v>Sunday</v>
      </c>
      <c r="C25" s="12" t="s">
        <v>26</v>
      </c>
      <c r="D25" s="13"/>
      <c r="E25" s="27"/>
      <c r="F25" s="27"/>
      <c r="G25" s="31"/>
      <c r="H25" s="23" t="str">
        <f t="shared" si="5"/>
        <v/>
      </c>
      <c r="I25" s="30"/>
      <c r="J25" s="1">
        <f t="shared" si="1"/>
        <v>0</v>
      </c>
      <c r="O25" s="1">
        <f t="shared" si="4"/>
        <v>0</v>
      </c>
    </row>
    <row r="26" spans="1:17" x14ac:dyDescent="0.4">
      <c r="A26" s="10">
        <f t="shared" si="2"/>
        <v>44424</v>
      </c>
      <c r="B26" s="11" t="str">
        <f t="shared" si="3"/>
        <v>Monday</v>
      </c>
      <c r="C26" s="12" t="s">
        <v>15</v>
      </c>
      <c r="D26" s="13" t="s">
        <v>22</v>
      </c>
      <c r="E26" s="27">
        <v>0.22916666666666666</v>
      </c>
      <c r="F26" s="27">
        <v>0.27083333333333331</v>
      </c>
      <c r="G26" s="31">
        <v>8.6</v>
      </c>
      <c r="H26" s="23" t="str">
        <f t="shared" si="5"/>
        <v>General</v>
      </c>
      <c r="I26" s="30"/>
      <c r="J26" s="1">
        <f t="shared" si="1"/>
        <v>0</v>
      </c>
      <c r="O26" s="1">
        <f t="shared" si="4"/>
        <v>0</v>
      </c>
    </row>
    <row r="27" spans="1:17" x14ac:dyDescent="0.4">
      <c r="A27" s="10">
        <f t="shared" si="2"/>
        <v>44425</v>
      </c>
      <c r="B27" s="11" t="str">
        <f t="shared" si="3"/>
        <v>Tuesday</v>
      </c>
      <c r="C27" s="12" t="s">
        <v>15</v>
      </c>
      <c r="D27" s="13" t="s">
        <v>22</v>
      </c>
      <c r="E27" s="27">
        <v>0.22916666666666666</v>
      </c>
      <c r="F27" s="27">
        <v>0.27083333333333331</v>
      </c>
      <c r="G27" s="31">
        <v>8.6</v>
      </c>
      <c r="H27" s="23" t="str">
        <f t="shared" si="5"/>
        <v>General</v>
      </c>
      <c r="I27" s="30"/>
      <c r="J27" s="1">
        <f t="shared" si="1"/>
        <v>0</v>
      </c>
      <c r="O27" s="1">
        <f t="shared" si="4"/>
        <v>0</v>
      </c>
    </row>
    <row r="28" spans="1:17" x14ac:dyDescent="0.4">
      <c r="A28" s="10">
        <f t="shared" si="2"/>
        <v>44426</v>
      </c>
      <c r="B28" s="11" t="str">
        <f t="shared" si="3"/>
        <v>Wednesday</v>
      </c>
      <c r="C28" s="12" t="s">
        <v>15</v>
      </c>
      <c r="D28" s="13" t="s">
        <v>22</v>
      </c>
      <c r="E28" s="27">
        <v>0.22916666666666666</v>
      </c>
      <c r="F28" s="27">
        <v>0.27083333333333331</v>
      </c>
      <c r="G28" s="31">
        <v>8.6</v>
      </c>
      <c r="H28" s="23" t="str">
        <f t="shared" si="5"/>
        <v>General</v>
      </c>
      <c r="I28" s="30"/>
      <c r="J28" s="1">
        <f t="shared" si="1"/>
        <v>0</v>
      </c>
      <c r="O28" s="1">
        <f t="shared" si="4"/>
        <v>0</v>
      </c>
    </row>
    <row r="29" spans="1:17" x14ac:dyDescent="0.4">
      <c r="A29" s="10">
        <f t="shared" si="2"/>
        <v>44427</v>
      </c>
      <c r="B29" s="11" t="str">
        <f t="shared" si="3"/>
        <v>Thursday</v>
      </c>
      <c r="C29" s="12" t="s">
        <v>15</v>
      </c>
      <c r="D29" s="13" t="s">
        <v>22</v>
      </c>
      <c r="E29" s="27">
        <v>0.22916666666666666</v>
      </c>
      <c r="F29" s="27">
        <v>0.27083333333333331</v>
      </c>
      <c r="G29" s="31">
        <v>8.6</v>
      </c>
      <c r="H29" s="23" t="str">
        <f t="shared" si="5"/>
        <v>General</v>
      </c>
      <c r="I29" s="30"/>
      <c r="J29" s="1">
        <f t="shared" si="1"/>
        <v>0</v>
      </c>
      <c r="O29" s="1">
        <f t="shared" si="4"/>
        <v>0</v>
      </c>
    </row>
    <row r="30" spans="1:17" x14ac:dyDescent="0.4">
      <c r="A30" s="10">
        <f t="shared" si="2"/>
        <v>44428</v>
      </c>
      <c r="B30" s="11" t="str">
        <f t="shared" si="3"/>
        <v>Friday</v>
      </c>
      <c r="C30" s="12" t="s">
        <v>15</v>
      </c>
      <c r="D30" s="13" t="s">
        <v>22</v>
      </c>
      <c r="E30" s="27">
        <v>0.22916666666666666</v>
      </c>
      <c r="F30" s="27">
        <v>0.27083333333333331</v>
      </c>
      <c r="G30" s="31">
        <v>8.6</v>
      </c>
      <c r="H30" s="23" t="str">
        <f t="shared" si="5"/>
        <v>General</v>
      </c>
      <c r="I30" s="30"/>
      <c r="J30" s="1">
        <f t="shared" si="1"/>
        <v>0</v>
      </c>
      <c r="O30" s="1">
        <f t="shared" si="4"/>
        <v>0</v>
      </c>
    </row>
    <row r="31" spans="1:17" x14ac:dyDescent="0.4">
      <c r="A31" s="10">
        <f t="shared" si="2"/>
        <v>44429</v>
      </c>
      <c r="B31" s="11" t="str">
        <f t="shared" si="3"/>
        <v>Saturday</v>
      </c>
      <c r="C31" s="12" t="s">
        <v>15</v>
      </c>
      <c r="D31" s="13" t="s">
        <v>25</v>
      </c>
      <c r="E31" s="27">
        <v>0.25</v>
      </c>
      <c r="F31" s="27" t="s">
        <v>68</v>
      </c>
      <c r="G31" s="31"/>
      <c r="H31" s="23" t="str">
        <f t="shared" si="5"/>
        <v>Shift C</v>
      </c>
      <c r="I31" s="30" t="s">
        <v>70</v>
      </c>
      <c r="J31" s="1">
        <f t="shared" si="1"/>
        <v>300</v>
      </c>
      <c r="O31" s="1">
        <f t="shared" si="4"/>
        <v>0</v>
      </c>
    </row>
    <row r="32" spans="1:17" x14ac:dyDescent="0.4">
      <c r="A32" s="10">
        <f t="shared" si="2"/>
        <v>44430</v>
      </c>
      <c r="B32" s="11" t="str">
        <f t="shared" si="3"/>
        <v>Sunday</v>
      </c>
      <c r="C32" s="12" t="s">
        <v>26</v>
      </c>
      <c r="D32" s="13"/>
      <c r="E32" s="27"/>
      <c r="F32" s="27"/>
      <c r="G32" s="31"/>
      <c r="H32" s="23" t="str">
        <f t="shared" si="5"/>
        <v/>
      </c>
      <c r="I32" s="30"/>
      <c r="J32" s="1">
        <f t="shared" si="1"/>
        <v>0</v>
      </c>
      <c r="O32" s="1">
        <f t="shared" si="4"/>
        <v>0</v>
      </c>
    </row>
    <row r="33" spans="1:15" x14ac:dyDescent="0.4">
      <c r="A33" s="10">
        <f t="shared" si="2"/>
        <v>44431</v>
      </c>
      <c r="B33" s="11" t="str">
        <f t="shared" si="3"/>
        <v>Monday</v>
      </c>
      <c r="C33" s="12" t="s">
        <v>15</v>
      </c>
      <c r="D33" s="13" t="s">
        <v>22</v>
      </c>
      <c r="E33" s="27">
        <v>0.22916666666666666</v>
      </c>
      <c r="F33" s="27">
        <v>0.27083333333333331</v>
      </c>
      <c r="G33" s="31">
        <v>8.6</v>
      </c>
      <c r="H33" s="23" t="str">
        <f t="shared" si="5"/>
        <v>General</v>
      </c>
      <c r="I33" s="30"/>
      <c r="J33" s="1">
        <f t="shared" si="1"/>
        <v>0</v>
      </c>
      <c r="O33" s="1">
        <f t="shared" si="4"/>
        <v>0</v>
      </c>
    </row>
    <row r="34" spans="1:15" x14ac:dyDescent="0.4">
      <c r="A34" s="10">
        <f t="shared" si="2"/>
        <v>44432</v>
      </c>
      <c r="B34" s="11" t="str">
        <f t="shared" si="3"/>
        <v>Tuesday</v>
      </c>
      <c r="C34" s="12" t="s">
        <v>15</v>
      </c>
      <c r="D34" s="13" t="s">
        <v>22</v>
      </c>
      <c r="E34" s="27">
        <v>0.22916666666666666</v>
      </c>
      <c r="F34" s="27">
        <v>0.27083333333333331</v>
      </c>
      <c r="G34" s="31">
        <v>8.6</v>
      </c>
      <c r="H34" s="23" t="str">
        <f t="shared" si="5"/>
        <v>General</v>
      </c>
      <c r="I34" s="30"/>
      <c r="J34" s="1">
        <f t="shared" si="1"/>
        <v>0</v>
      </c>
      <c r="O34" s="1">
        <f t="shared" si="4"/>
        <v>0</v>
      </c>
    </row>
    <row r="35" spans="1:15" x14ac:dyDescent="0.4">
      <c r="A35" s="10">
        <f t="shared" si="2"/>
        <v>44433</v>
      </c>
      <c r="B35" s="11" t="str">
        <f t="shared" si="3"/>
        <v>Wednesday</v>
      </c>
      <c r="C35" s="12" t="s">
        <v>15</v>
      </c>
      <c r="D35" s="13" t="s">
        <v>22</v>
      </c>
      <c r="E35" s="27">
        <v>0.22916666666666666</v>
      </c>
      <c r="F35" s="27">
        <v>0.27083333333333331</v>
      </c>
      <c r="G35" s="31">
        <v>8.6</v>
      </c>
      <c r="H35" s="23" t="str">
        <f t="shared" si="5"/>
        <v>General</v>
      </c>
      <c r="I35" s="30"/>
      <c r="J35" s="1">
        <f t="shared" si="1"/>
        <v>0</v>
      </c>
      <c r="O35" s="1">
        <f t="shared" si="4"/>
        <v>0</v>
      </c>
    </row>
    <row r="36" spans="1:15" x14ac:dyDescent="0.4">
      <c r="A36" s="10">
        <f t="shared" si="2"/>
        <v>44434</v>
      </c>
      <c r="B36" s="11" t="str">
        <f t="shared" si="3"/>
        <v>Thursday</v>
      </c>
      <c r="C36" s="12" t="s">
        <v>15</v>
      </c>
      <c r="D36" s="13" t="s">
        <v>22</v>
      </c>
      <c r="E36" s="27">
        <v>0.22916666666666666</v>
      </c>
      <c r="F36" s="27">
        <v>0.27083333333333331</v>
      </c>
      <c r="G36" s="31">
        <v>8.6</v>
      </c>
      <c r="H36" s="23" t="str">
        <f t="shared" si="5"/>
        <v>General</v>
      </c>
      <c r="I36" s="30"/>
      <c r="J36" s="1">
        <f t="shared" si="1"/>
        <v>0</v>
      </c>
      <c r="O36" s="1">
        <f t="shared" si="4"/>
        <v>0</v>
      </c>
    </row>
    <row r="37" spans="1:15" x14ac:dyDescent="0.4">
      <c r="A37" s="10">
        <f t="shared" si="2"/>
        <v>44435</v>
      </c>
      <c r="B37" s="11" t="str">
        <f t="shared" si="3"/>
        <v>Friday</v>
      </c>
      <c r="C37" s="12" t="s">
        <v>15</v>
      </c>
      <c r="D37" s="13" t="s">
        <v>22</v>
      </c>
      <c r="E37" s="27">
        <v>0.22916666666666666</v>
      </c>
      <c r="F37" s="27">
        <v>0.27083333333333331</v>
      </c>
      <c r="G37" s="31">
        <v>8.6</v>
      </c>
      <c r="H37" s="23" t="str">
        <f t="shared" si="5"/>
        <v>General</v>
      </c>
      <c r="I37" s="30"/>
      <c r="J37" s="1">
        <f t="shared" si="1"/>
        <v>0</v>
      </c>
      <c r="O37" s="1">
        <f t="shared" si="4"/>
        <v>0</v>
      </c>
    </row>
    <row r="38" spans="1:15" x14ac:dyDescent="0.4">
      <c r="A38" s="10">
        <f t="shared" si="2"/>
        <v>44436</v>
      </c>
      <c r="B38" s="11" t="str">
        <f t="shared" si="3"/>
        <v>Saturday</v>
      </c>
      <c r="C38" s="12" t="s">
        <v>15</v>
      </c>
      <c r="D38" s="13" t="s">
        <v>25</v>
      </c>
      <c r="E38" s="27">
        <v>0.25</v>
      </c>
      <c r="F38" s="27" t="s">
        <v>68</v>
      </c>
      <c r="G38" s="31"/>
      <c r="H38" s="23" t="str">
        <f t="shared" si="5"/>
        <v>Shift C</v>
      </c>
      <c r="I38" s="30"/>
      <c r="J38" s="1">
        <f t="shared" si="1"/>
        <v>300</v>
      </c>
      <c r="O38" s="1">
        <f t="shared" si="4"/>
        <v>0</v>
      </c>
    </row>
    <row r="39" spans="1:15" x14ac:dyDescent="0.4">
      <c r="A39" s="10">
        <f t="shared" si="2"/>
        <v>44437</v>
      </c>
      <c r="B39" s="11" t="str">
        <f t="shared" si="3"/>
        <v>Sunday</v>
      </c>
      <c r="C39" s="12" t="s">
        <v>26</v>
      </c>
      <c r="D39" s="13"/>
      <c r="E39" s="27"/>
      <c r="F39" s="27"/>
      <c r="G39" s="31"/>
      <c r="H39" s="23" t="str">
        <f t="shared" si="5"/>
        <v/>
      </c>
      <c r="I39" s="30"/>
      <c r="J39" s="1">
        <f t="shared" si="1"/>
        <v>0</v>
      </c>
      <c r="O39" s="1">
        <f t="shared" si="4"/>
        <v>0</v>
      </c>
    </row>
    <row r="40" spans="1:15" x14ac:dyDescent="0.4">
      <c r="A40" s="10">
        <f t="shared" si="2"/>
        <v>44438</v>
      </c>
      <c r="B40" s="11" t="str">
        <f t="shared" si="3"/>
        <v>Monday</v>
      </c>
      <c r="C40" s="12" t="s">
        <v>15</v>
      </c>
      <c r="D40" s="13" t="s">
        <v>22</v>
      </c>
      <c r="E40" s="27">
        <v>0.22916666666666666</v>
      </c>
      <c r="F40" s="27">
        <v>0.27083333333333331</v>
      </c>
      <c r="G40" s="31">
        <v>8.6</v>
      </c>
      <c r="H40" s="23" t="str">
        <f t="shared" si="5"/>
        <v>General</v>
      </c>
      <c r="I40" s="30" t="s">
        <v>70</v>
      </c>
      <c r="J40" s="1">
        <f t="shared" si="1"/>
        <v>0</v>
      </c>
      <c r="O40" s="1">
        <f t="shared" si="4"/>
        <v>0</v>
      </c>
    </row>
    <row r="41" spans="1:15" x14ac:dyDescent="0.4">
      <c r="A41" s="10">
        <f t="shared" si="2"/>
        <v>44439</v>
      </c>
      <c r="B41" s="11" t="str">
        <f t="shared" si="3"/>
        <v>Tuesday</v>
      </c>
      <c r="C41" s="12" t="s">
        <v>15</v>
      </c>
      <c r="D41" s="13" t="s">
        <v>22</v>
      </c>
      <c r="E41" s="27">
        <v>0.22916666666666666</v>
      </c>
      <c r="F41" s="27">
        <v>0.27083333333333331</v>
      </c>
      <c r="G41" s="31">
        <v>8.6</v>
      </c>
      <c r="H41" s="23" t="str">
        <f t="shared" si="5"/>
        <v>General</v>
      </c>
      <c r="I41" s="30"/>
      <c r="J41" s="1">
        <f t="shared" si="1"/>
        <v>0</v>
      </c>
      <c r="O41" s="1">
        <f t="shared" si="4"/>
        <v>0</v>
      </c>
    </row>
    <row r="42" spans="1:15" ht="7.15" customHeight="1" x14ac:dyDescent="0.4">
      <c r="A42" s="49"/>
      <c r="B42" s="49"/>
      <c r="C42" s="49"/>
      <c r="D42" s="49"/>
      <c r="E42" s="49"/>
      <c r="F42" s="49"/>
      <c r="G42" s="49"/>
      <c r="H42" s="49"/>
      <c r="I42" s="49"/>
    </row>
    <row r="43" spans="1:15" x14ac:dyDescent="0.4">
      <c r="A43" s="7" t="s">
        <v>28</v>
      </c>
      <c r="B43" s="5">
        <f>DAY(DATE(YEAR(D8),MONTH(D8)+1,1)-1)</f>
        <v>31</v>
      </c>
    </row>
    <row r="44" spans="1:15" x14ac:dyDescent="0.4">
      <c r="A44" s="7" t="s">
        <v>29</v>
      </c>
      <c r="B44" s="5">
        <f>COUNTIF(C11:C41,"P")</f>
        <v>26</v>
      </c>
    </row>
    <row r="45" spans="1:15" x14ac:dyDescent="0.4">
      <c r="A45" s="7" t="s">
        <v>30</v>
      </c>
      <c r="B45" s="5">
        <f>COUNTIF(C11:C41,"Leave")</f>
        <v>0</v>
      </c>
    </row>
    <row r="46" spans="1:15" ht="31.9" customHeight="1" x14ac:dyDescent="0.4">
      <c r="A46" s="8" t="s">
        <v>53</v>
      </c>
      <c r="B46" s="5">
        <f>COUNTIFS(C11:C41,"&lt;&gt;P",C11:C41,"&lt;&gt;Leave",C11:C41,"&lt;&gt;")</f>
        <v>5</v>
      </c>
      <c r="C46" s="4"/>
    </row>
    <row r="47" spans="1:15" x14ac:dyDescent="0.4">
      <c r="A47" s="7" t="s">
        <v>31</v>
      </c>
      <c r="B47" s="5">
        <f>SUM(B44,B46)</f>
        <v>31</v>
      </c>
    </row>
    <row r="48" spans="1:15" x14ac:dyDescent="0.4">
      <c r="A48" s="7" t="s">
        <v>32</v>
      </c>
      <c r="B48" s="6">
        <f>B47/B43</f>
        <v>1</v>
      </c>
    </row>
    <row r="49" spans="1:2" x14ac:dyDescent="0.4">
      <c r="A49" s="7" t="s">
        <v>33</v>
      </c>
      <c r="B49" s="5">
        <f>SUM(J11:J41)</f>
        <v>1200</v>
      </c>
    </row>
    <row r="50" spans="1:2" x14ac:dyDescent="0.4">
      <c r="A50" s="7" t="s">
        <v>35</v>
      </c>
      <c r="B50" s="5">
        <f>SUM(O11:O41)*25</f>
        <v>0</v>
      </c>
    </row>
    <row r="51" spans="1:2" x14ac:dyDescent="0.4">
      <c r="A51" s="7" t="s">
        <v>36</v>
      </c>
      <c r="B51" s="12">
        <v>0</v>
      </c>
    </row>
    <row r="52" spans="1:2" x14ac:dyDescent="0.4">
      <c r="A52" s="7" t="s">
        <v>60</v>
      </c>
      <c r="B52" s="32">
        <f>SUM(G11:G41)</f>
        <v>197.79999999999993</v>
      </c>
    </row>
  </sheetData>
  <sheetProtection password="F808" sheet="1" objects="1" scenarios="1"/>
  <mergeCells count="21">
    <mergeCell ref="A42:I42"/>
    <mergeCell ref="H5:I5"/>
    <mergeCell ref="U10:V10"/>
    <mergeCell ref="A9:B9"/>
    <mergeCell ref="C9:I9"/>
    <mergeCell ref="H8:I8"/>
    <mergeCell ref="A8:B8"/>
    <mergeCell ref="E3:F3"/>
    <mergeCell ref="A7:I7"/>
    <mergeCell ref="C5:D5"/>
    <mergeCell ref="C4:D4"/>
    <mergeCell ref="A1:I1"/>
    <mergeCell ref="A2:I2"/>
    <mergeCell ref="H3:I3"/>
    <mergeCell ref="H6:I6"/>
    <mergeCell ref="C3:D3"/>
    <mergeCell ref="E6:F6"/>
    <mergeCell ref="C6:D6"/>
    <mergeCell ref="H4:I4"/>
    <mergeCell ref="E4:F4"/>
    <mergeCell ref="E5:F5"/>
  </mergeCells>
  <phoneticPr fontId="1" type="noConversion"/>
  <conditionalFormatting sqref="B11:B41">
    <cfRule type="cellIs" dxfId="1" priority="1" stopIfTrue="1" operator="equal">
      <formula>"Saturday"</formula>
    </cfRule>
    <cfRule type="cellIs" dxfId="0" priority="2" stopIfTrue="1" operator="equal">
      <formula>"Sunday"</formula>
    </cfRule>
  </conditionalFormatting>
  <dataValidations count="4">
    <dataValidation type="list" allowBlank="1" showInputMessage="1" showErrorMessage="1" sqref="D11:D41" xr:uid="{00000000-0002-0000-0000-000000000000}">
      <formula1>$M$19:$M$22</formula1>
    </dataValidation>
    <dataValidation type="list" allowBlank="1" showInputMessage="1" showErrorMessage="1" sqref="E8:G8" xr:uid="{00000000-0002-0000-0000-000001000000}">
      <formula1>"Jan-2020,Feb-2020,Mar-2020,Apr-2020,May-2020,Jun-2020,Jul-2020,Aug-2020,Sep-2020,Oct-2020,Nov-2020,Dec-2020"</formula1>
    </dataValidation>
    <dataValidation type="list" allowBlank="1" showInputMessage="1" showErrorMessage="1" sqref="C11:C41" xr:uid="{00000000-0002-0000-0000-000002000000}">
      <formula1>$K$14:$K$19</formula1>
    </dataValidation>
    <dataValidation type="list" allowBlank="1" showInputMessage="1" showErrorMessage="1" sqref="D8" xr:uid="{00000000-0002-0000-0000-000003000000}">
      <formula1>"Jan-2021,Feb-2021,Mar-2021,Apr-2021,May-2021,Jun-2021,Jul-2021,Aug-2021,Sep-2021,Oct-2021,Nov-2021,Dec-2021"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Sheet</vt:lpstr>
      <vt:lpstr>'Time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Dutta</dc:creator>
  <cp:lastModifiedBy>Ganesh A1</cp:lastModifiedBy>
  <cp:lastPrinted>2011-10-13T06:29:48Z</cp:lastPrinted>
  <dcterms:created xsi:type="dcterms:W3CDTF">2010-07-29T13:10:56Z</dcterms:created>
  <dcterms:modified xsi:type="dcterms:W3CDTF">2021-08-19T13:58:33Z</dcterms:modified>
</cp:coreProperties>
</file>